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4055"/>
  </bookViews>
  <sheets>
    <sheet name="计划清单" sheetId="2" r:id="rId1"/>
    <sheet name="记录时间" sheetId="3" r:id="rId2"/>
    <sheet name="聚焦--今天" sheetId="12" r:id="rId3"/>
    <sheet name="re1 能量波动_计数" sheetId="13" state="hidden" r:id="rId4"/>
    <sheet name="re1 能量波动_时长" sheetId="15" state="hidden" r:id="rId5"/>
    <sheet name="re2 计划利用率" sheetId="14" state="hidden" r:id="rId6"/>
    <sheet name="re4 计划_任务计项" sheetId="17" r:id="rId7"/>
    <sheet name="月度看板" sheetId="6" r:id="rId8"/>
  </sheets>
  <definedNames>
    <definedName name="计划清单">计划清单!$C:$G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<sst xmlns="http://schemas.openxmlformats.org/spreadsheetml/2006/main" count="195" uniqueCount="102">
  <si>
    <t>终止日期</t>
  </si>
  <si>
    <t>配时</t>
  </si>
  <si>
    <t>目标(O)</t>
  </si>
  <si>
    <t>结果期望(R)</t>
  </si>
  <si>
    <t>阶段行动(SA)</t>
  </si>
  <si>
    <t>用途</t>
  </si>
  <si>
    <t>能量状态</t>
  </si>
  <si>
    <t>维持运转</t>
  </si>
  <si>
    <t>睡眠时间</t>
  </si>
  <si>
    <t>睡觉</t>
  </si>
  <si>
    <t>基础活动</t>
  </si>
  <si>
    <t>😩 疲惫/消沉</t>
  </si>
  <si>
    <t>早中晚用餐</t>
  </si>
  <si>
    <t>吃饭</t>
  </si>
  <si>
    <t>🛌 慵懒/拖延</t>
  </si>
  <si>
    <t>早晚洗漱</t>
  </si>
  <si>
    <t>洗漱</t>
  </si>
  <si>
    <t>🙂 平稳/平衡</t>
  </si>
  <si>
    <t>收纳、清洁</t>
  </si>
  <si>
    <t>家务</t>
  </si>
  <si>
    <t>😊 积极/活跃</t>
  </si>
  <si>
    <t>路上</t>
  </si>
  <si>
    <t>通勤</t>
  </si>
  <si>
    <t>过渡时间</t>
  </si>
  <si>
    <t>🎉 亢奋/激动</t>
  </si>
  <si>
    <t>等待</t>
  </si>
  <si>
    <t>准备</t>
  </si>
  <si>
    <t>被打断</t>
  </si>
  <si>
    <t>如果需要，可以记录被打断的事件</t>
  </si>
  <si>
    <t>暂停</t>
  </si>
  <si>
    <t>ps:</t>
  </si>
  <si>
    <t>无效时间</t>
  </si>
  <si>
    <t>无所事事，打发时间刷视频等</t>
  </si>
  <si>
    <t>打发</t>
  </si>
  <si>
    <t>闲置时间</t>
  </si>
  <si>
    <t>基础时间、过渡时间、工作时间偏向被动</t>
  </si>
  <si>
    <t>圣贤时刻</t>
  </si>
  <si>
    <t>放空、圣洁无暇</t>
  </si>
  <si>
    <t>发呆</t>
  </si>
  <si>
    <t>闲置时间、连接时间偏向比较弱的主动</t>
  </si>
  <si>
    <t>增益活动</t>
  </si>
  <si>
    <t>独处、思考</t>
  </si>
  <si>
    <t>放空</t>
  </si>
  <si>
    <t>连接活动</t>
  </si>
  <si>
    <t>项目的计划时间的主动性很强</t>
  </si>
  <si>
    <t>聊天、沟通、聚会</t>
  </si>
  <si>
    <t>社交</t>
  </si>
  <si>
    <t>节日、纪念日、活动</t>
  </si>
  <si>
    <t>仪式</t>
  </si>
  <si>
    <t>娱乐、休闲、旅行</t>
  </si>
  <si>
    <t>消费</t>
  </si>
  <si>
    <t>运动项目、锻炼身体</t>
  </si>
  <si>
    <t>运动</t>
  </si>
  <si>
    <t>赚钱</t>
  </si>
  <si>
    <t>出卖时间和劳动力</t>
  </si>
  <si>
    <t>上班</t>
  </si>
  <si>
    <t>工作时间</t>
  </si>
  <si>
    <t>侧重完成当前合作伙伴分配的任务</t>
  </si>
  <si>
    <t>Ai炼术师</t>
  </si>
  <si>
    <t>与Ai共创更多有意思的内容</t>
  </si>
  <si>
    <t>AI Energy Alchemy</t>
  </si>
  <si>
    <t>项目</t>
  </si>
  <si>
    <t>侧重自我成长的长期规划</t>
  </si>
  <si>
    <t>管理坏情绪，并建立时间秩序</t>
  </si>
  <si>
    <t>做一个能量管理系统</t>
  </si>
  <si>
    <t>计划时间</t>
  </si>
  <si>
    <t>项目发展所需要的创造性时间</t>
  </si>
  <si>
    <t>展示最佳案例</t>
  </si>
  <si>
    <t>教朋友构建他自己的能量系统</t>
  </si>
  <si>
    <t>写一个教学文档</t>
  </si>
  <si>
    <t>做成视频讲解</t>
  </si>
  <si>
    <t>风格动画</t>
  </si>
  <si>
    <t>跟着做一些demo，掌握软件的操作</t>
  </si>
  <si>
    <t>01建模基础</t>
  </si>
  <si>
    <t>02材质、纹理等</t>
  </si>
  <si>
    <t>能够独立制作一些简单的场景动画</t>
  </si>
  <si>
    <t>01动画原理</t>
  </si>
  <si>
    <t>02粒子、灯光</t>
  </si>
  <si>
    <t>初步探索风格化</t>
  </si>
  <si>
    <t>01npr三渲二要点</t>
  </si>
  <si>
    <t>02着色器</t>
  </si>
  <si>
    <t>日期</t>
  </si>
  <si>
    <t>开始时间</t>
  </si>
  <si>
    <t>结束时间</t>
  </si>
  <si>
    <t>耗时/h</t>
  </si>
  <si>
    <t>备注内容</t>
  </si>
  <si>
    <t>看解说电影</t>
  </si>
  <si>
    <t>完成章节&lt;模板使用说明&gt;的一部分内容</t>
  </si>
  <si>
    <t>理想分配</t>
  </si>
  <si>
    <t>比例</t>
  </si>
  <si>
    <t>统计</t>
  </si>
  <si>
    <t>今日用时</t>
  </si>
  <si>
    <t>实际比例</t>
  </si>
  <si>
    <t>做点什么热热身~~~</t>
  </si>
  <si>
    <t>创意一个工作台，整理之前与计划相关的想法，灵感等</t>
  </si>
  <si>
    <t>放空一下，清除情绪，做点小运动，如清理一下桌面</t>
  </si>
  <si>
    <t>总计</t>
  </si>
  <si>
    <t>计数项:能量状态</t>
  </si>
  <si>
    <t>求和项:耗时/h</t>
  </si>
  <si>
    <t>(全部)</t>
  </si>
  <si>
    <t>值</t>
  </si>
  <si>
    <t>求和项:计划以外的时间总和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</si>
</sst>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.00_);[Red]\(0.00\)"/>
    <numFmt numFmtId="178" formatCode="h:mm;@"/>
    <numFmt numFmtId="179" formatCode="m/d;@"/>
    <numFmt numFmtId="180" formatCode="0.00_);[Red]\(0.00\)"/>
    <numFmt numFmtId="181" formatCode="0.00_);[Red]\(0.00\)"/>
    <numFmt numFmtId="182" formatCode="0.00_);[Red]\(0.00\)"/>
  </numFmts>
  <fonts count="24">
    <font>
      <sz val="11"/>
      <color theme="1"/>
      <name val="宋体"/>
      <charset val="134"/>
      <scheme val="minor"/>
    </font>
    <font>
      <b/>
      <sz val="12"/>
      <color theme="1"/>
      <name val="微软雅黑"/>
      <charset val="134"/>
    </font>
    <font>
      <b/>
      <sz val="12"/>
      <color theme="1"/>
      <name val="宋体"/>
      <charset val="134"/>
      <scheme val="minor"/>
    </font>
    <font>
      <b/>
      <sz val="12"/>
      <color theme="2" tint="-0.25"/>
      <name val="宋体"/>
      <charset val="134"/>
      <scheme val="minor"/>
    </font>
    <font>
      <sz val="11"/>
      <color theme="2" tint="-0.25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7" tint="0.4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12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3" applyNumberFormat="0" applyFill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2" fillId="0" borderId="1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8" borderId="15" applyNumberFormat="0" applyAlignment="0" applyProtection="0">
      <alignment vertical="center"/>
    </xf>
    <xf numFmtId="0" fontId="14" fillId="9" borderId="16" applyNumberFormat="0" applyAlignment="0" applyProtection="0">
      <alignment vertical="center"/>
    </xf>
    <xf numFmtId="0" fontId="15" fillId="9" borderId="15" applyNumberFormat="0" applyAlignment="0" applyProtection="0">
      <alignment vertical="center"/>
    </xf>
    <xf numFmtId="0" fontId="16" fillId="10" borderId="17" applyNumberFormat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0" fontId="0" fillId="2" borderId="2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176" fontId="0" fillId="3" borderId="2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0" fontId="0" fillId="4" borderId="5" xfId="0" applyNumberFormat="1" applyFill="1" applyBorder="1" applyAlignment="1">
      <alignment horizontal="center" vertical="center"/>
    </xf>
    <xf numFmtId="176" fontId="0" fillId="4" borderId="4" xfId="0" applyNumberFormat="1" applyFill="1" applyBorder="1" applyAlignment="1">
      <alignment horizontal="center" vertical="center"/>
    </xf>
    <xf numFmtId="178" fontId="0" fillId="4" borderId="5" xfId="0" applyNumberFormat="1" applyFill="1" applyBorder="1" applyAlignment="1">
      <alignment horizontal="center" vertical="center"/>
    </xf>
    <xf numFmtId="10" fontId="0" fillId="4" borderId="6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0" fontId="0" fillId="2" borderId="5" xfId="0" applyNumberFormat="1" applyFill="1" applyBorder="1" applyAlignment="1">
      <alignment horizontal="center" vertical="center"/>
    </xf>
    <xf numFmtId="176" fontId="0" fillId="3" borderId="4" xfId="0" applyNumberFormat="1" applyFill="1" applyBorder="1" applyAlignment="1">
      <alignment horizontal="center" vertical="center"/>
    </xf>
    <xf numFmtId="178" fontId="0" fillId="3" borderId="5" xfId="0" applyNumberFormat="1" applyFill="1" applyBorder="1" applyAlignment="1">
      <alignment horizontal="center" vertical="center"/>
    </xf>
    <xf numFmtId="10" fontId="0" fillId="3" borderId="6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176" fontId="0" fillId="0" borderId="5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8" fontId="0" fillId="0" borderId="5" xfId="0" applyNumberForma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179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 wrapText="1"/>
    </xf>
    <xf numFmtId="58" fontId="0" fillId="0" borderId="0" xfId="0" applyNumberFormat="1" applyFill="1" applyBorder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58" fontId="0" fillId="0" borderId="0" xfId="0" applyNumberForma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left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left" vertical="center"/>
      <protection locked="0"/>
    </xf>
    <xf numFmtId="0" fontId="0" fillId="5" borderId="0" xfId="0" applyFill="1" applyBorder="1" applyAlignment="1" applyProtection="1">
      <alignment horizontal="left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horizontal="left" vertical="center"/>
      <protection locked="0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49">
    <dxf>
      <alignment horizontal="center"/>
    </dxf>
    <dxf>
      <alignment horizontal="center"/>
    </dxf>
    <dxf>
      <numFmt numFmtId="176" formatCode="0.00_ "/>
    </dxf>
    <dxf>
      <numFmt numFmtId="176" formatCode="0.00_ "/>
    </dxf>
    <dxf>
      <alignment horizontal="center"/>
    </dxf>
    <dxf/>
    <dxf>
      <numFmt numFmtId="178" formatCode="h:mm;@"/>
    </dxf>
    <dxf>
      <numFmt numFmtId="178" formatCode="h:mm;@"/>
    </dxf>
    <dxf>
      <numFmt numFmtId="177" formatCode="0.00_);[Red]\(0.00\)"/>
    </dxf>
    <dxf>
      <fill>
        <patternFill patternType="none"/>
      </fill>
      <alignment horizontal="left" wrapText="1"/>
    </dxf>
    <dxf>
      <fill>
        <patternFill patternType="none"/>
      </fill>
      <alignment horizontal="center"/>
    </dxf>
    <dxf>
      <fill>
        <patternFill patternType="none"/>
      </fill>
      <alignment horizontal="left" wrapText="1"/>
    </dxf>
    <dxf>
      <fill>
        <patternFill patternType="none"/>
      </fill>
      <alignment horizontal="left"/>
    </dxf>
    <dxf>
      <fill>
        <patternFill patternType="none"/>
      </fill>
    </dxf>
    <dxf>
      <fill>
        <patternFill patternType="none"/>
      </fill>
    </dxf>
    <dxf>
      <fill>
        <patternFill patternType="solid">
          <fgColor theme="1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4" tint="-0.249977111117893"/>
      </font>
    </dxf>
    <dxf>
      <font>
        <b val="1"/>
        <color theme="4" tint="-0.249977111117893"/>
      </font>
    </dxf>
    <dxf>
      <font>
        <b val="1"/>
        <color theme="4" tint="-0.249977111117893"/>
      </font>
      <border>
        <top style="thin">
          <color theme="4"/>
        </top>
      </border>
    </dxf>
    <dxf>
      <font>
        <b val="1"/>
        <color theme="4" tint="-0.249977111117893"/>
      </font>
      <border>
        <top style="thin">
          <color theme="4"/>
        </top>
        <bottom style="medium">
          <color theme="4"/>
        </bottom>
      </border>
    </dxf>
    <dxf>
      <font>
        <color theme="4" tint="-0.499984740745262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  <color theme="4" tint="-0.499984740745262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b val="1"/>
        <color theme="4" tint="-0.499984740745262"/>
      </font>
    </dxf>
    <dxf>
      <font>
        <b val="1"/>
        <color theme="0"/>
      </font>
      <fill>
        <patternFill patternType="solid">
          <fgColor theme="4"/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</border>
    </dxf>
    <dxf>
      <font>
        <color theme="4" tint="-0.499984740745262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</border>
    </dxf>
  </dxfs>
  <tableStyles count="4" defaultTableStyle="TableStylePreset3_Accent1" defaultPivotStyle="PivotStylePreset2_Accent1">
    <tableStyle name="TableStylePreset1_Accent1" pivot="0" count="7" xr9:uid="{A98CE15B-0617-44FD-AA09-9F3C88052951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  <tableStyle name="TableStylePreset3_Accent1" pivot="0" count="7" xr9:uid="{59DB682C-5494-4EDE-A608-00C9E5F0F923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  <tableStyle name="PivotStylePreset2_Accent1" table="0" count="10" xr9:uid="{267968C8-6FFD-4C36-ACC1-9EA1FD1885CA}">
      <tableStyleElement type="headerRow" dxfId="38"/>
      <tableStyleElement type="totalRow" dxfId="37"/>
      <tableStyleElement type="firstRowStripe" dxfId="36"/>
      <tableStyleElement type="firstColumnStripe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PivotStylePreset4_Accent1" table="0" count="10" xr9:uid="{104E50B9-DFA3-438A-9E46-56171CCFB77F}">
      <tableStyleElement type="wholeTable" dxfId="48"/>
      <tableStyleElement type="totalRow" dxfId="47"/>
      <tableStyleElement type="firstColumn" dxfId="46"/>
      <tableStyleElement type="lastColumn" dxfId="45"/>
      <tableStyleElement type="firstRowStripe" dxfId="44"/>
      <tableStyleElement type="firstColumnStripe" dxfId="43"/>
      <tableStyleElement type="firstSubtotalColumn" dxfId="42"/>
      <tableStyleElement type="firstSubtotalRow" dxfId="41"/>
      <tableStyleElement type="secondSubtotalRow" dxfId="40"/>
      <tableStyleElement type="pageFieldLabels" dxfId="3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www.wps.cn/officeDocument/2018/jdeExtension" Target="JDEData.bin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任务时间累计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100"/>
        <c:axId val="31184456"/>
        <c:axId val="268622135"/>
      </c:barChart>
      <c:catAx>
        <c:axId val="31184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8622135"/>
        <c:crosses val="autoZero"/>
        <c:auto val="1"/>
        <c:lblAlgn val="ctr"/>
        <c:lblOffset val="100"/>
        <c:noMultiLvlLbl val="0"/>
      </c:catAx>
      <c:valAx>
        <c:axId val="268622135"/>
        <c:scaling>
          <c:orientation val="minMax"/>
        </c:scaling>
        <c:delete val="1"/>
        <c:axPos val="b"/>
        <c:numFmt formatCode="0.00_ 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184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e578e78-81c1-464c-9a22-3712a65b99ae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[【能量管理-样板】.xlsm]re1 能量波动_计数!re1能量波动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能量次数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're1 能量波动_计数'!$B$1:$B$2</c:f>
              <c:strCache>
                <c:ptCount val="1"/>
                <c:pt idx="0">
                  <c:v>🎉 亢奋/激动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outerShdw blurRad="50800" dist="25400" dir="5400000" algn="t" rotWithShape="0">
                <a:schemeClr val="accent1">
                  <a:lumMod val="50000"/>
                  <a:alpha val="30000"/>
                </a:schemeClr>
              </a:outerShdw>
            </a:effectLst>
          </c:spPr>
          <c:marker>
            <c:symbol val="none"/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能量波动_计数'!$A$3:$A$5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能量波动_计数'!$B$3:$B$5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're1 能量波动_计数'!$C$1:$C$2</c:f>
              <c:strCache>
                <c:ptCount val="1"/>
                <c:pt idx="0">
                  <c:v>🛌 慵懒/拖延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25400" dir="5400000" algn="t" rotWithShape="0">
                <a:schemeClr val="accent2">
                  <a:lumMod val="50000"/>
                  <a:alpha val="30000"/>
                </a:schemeClr>
              </a:outerShdw>
            </a:effectLst>
          </c:spPr>
          <c:marker>
            <c:symbol val="none"/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能量波动_计数'!$A$3:$A$5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能量波动_计数'!$C$3:$C$5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're1 能量波动_计数'!$D$1:$D$2</c:f>
              <c:strCache>
                <c:ptCount val="1"/>
                <c:pt idx="0">
                  <c:v>😊 积极/活跃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>
              <a:outerShdw blurRad="50800" dist="25400" dir="5400000" algn="t" rotWithShape="0">
                <a:schemeClr val="accent3">
                  <a:lumMod val="50000"/>
                  <a:alpha val="30000"/>
                </a:schemeClr>
              </a:outerShdw>
            </a:effectLst>
          </c:spPr>
          <c:marker>
            <c:symbol val="none"/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能量波动_计数'!$A$3:$A$5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能量波动_计数'!$D$3:$D$5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're1 能量波动_计数'!$E$1:$E$2</c:f>
              <c:strCache>
                <c:ptCount val="1"/>
                <c:pt idx="0">
                  <c:v>🙂 平稳/平衡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outerShdw blurRad="50800" dist="25400" dir="5400000" algn="t" rotWithShape="0">
                <a:schemeClr val="accent4">
                  <a:lumMod val="50000"/>
                  <a:alpha val="30000"/>
                </a:schemeClr>
              </a:outerShdw>
            </a:effectLst>
          </c:spPr>
          <c:marker>
            <c:symbol val="none"/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能量波动_计数'!$A$3:$A$5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能量波动_计数'!$E$3:$E$5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709266407"/>
        <c:axId val="602934982"/>
      </c:lineChart>
      <c:catAx>
        <c:axId val="709266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2934982"/>
        <c:crosses val="autoZero"/>
        <c:auto val="1"/>
        <c:lblAlgn val="ctr"/>
        <c:lblOffset val="100"/>
        <c:noMultiLvlLbl val="0"/>
      </c:catAx>
      <c:valAx>
        <c:axId val="60293498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9266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654b242-9dc6-46ff-982b-c6cdc5c67b17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[【能量管理-样板】.xlsm]re1 能量波动_时长!re1能量波动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能量时长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're1 能量波动_时长'!$B$1:$B$2</c:f>
              <c:strCache>
                <c:ptCount val="1"/>
                <c:pt idx="0">
                  <c:v>🎉 亢奋/激动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1">
                      <a:lumMod val="75000"/>
                    </a:schemeClr>
                  </a:gs>
                  <a:gs pos="0">
                    <a:schemeClr val="accent1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能量波动_时长'!$A$3:$A$5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能量波动_时长'!$B$3:$B$5</c:f>
              <c:numCache>
                <c:formatCode>0.00_ </c:formatCode>
                <c:ptCount val="2"/>
                <c:pt idx="0">
                  <c:v>9</c:v>
                </c:pt>
                <c:pt idx="1">
                  <c:v>0.233333333333333</c:v>
                </c:pt>
              </c:numCache>
            </c:numRef>
          </c:val>
        </c:ser>
        <c:ser>
          <c:idx val="1"/>
          <c:order val="1"/>
          <c:tx>
            <c:strRef>
              <c:f>'re1 能量波动_时长'!$C$1:$C$2</c:f>
              <c:strCache>
                <c:ptCount val="1"/>
                <c:pt idx="0">
                  <c:v>🛌 慵懒/拖延</c:v>
                </c:pt>
              </c:strCache>
            </c:strRef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2">
                      <a:lumMod val="75000"/>
                    </a:schemeClr>
                  </a:gs>
                  <a:gs pos="0">
                    <a:schemeClr val="accent2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能量波动_时长'!$A$3:$A$5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能量波动_时长'!$C$3:$C$5</c:f>
              <c:numCache>
                <c:formatCode>0.00_ </c:formatCode>
                <c:ptCount val="2"/>
                <c:pt idx="0">
                  <c:v>0</c:v>
                </c:pt>
                <c:pt idx="1">
                  <c:v>0.966666666666665</c:v>
                </c:pt>
              </c:numCache>
            </c:numRef>
          </c:val>
        </c:ser>
        <c:ser>
          <c:idx val="2"/>
          <c:order val="2"/>
          <c:tx>
            <c:strRef>
              <c:f>'re1 能量波动_时长'!$D$1:$D$2</c:f>
              <c:strCache>
                <c:ptCount val="1"/>
                <c:pt idx="0">
                  <c:v>😊 积极/活跃</c:v>
                </c:pt>
              </c:strCache>
            </c:strRef>
          </c:tx>
          <c:spPr>
            <a:gradFill>
              <a:gsLst>
                <a:gs pos="100000">
                  <a:schemeClr val="accent3"/>
                </a:gs>
                <a:gs pos="0">
                  <a:schemeClr val="accent3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3">
                      <a:lumMod val="75000"/>
                    </a:schemeClr>
                  </a:gs>
                  <a:gs pos="0">
                    <a:schemeClr val="accent3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能量波动_时长'!$A$3:$A$5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能量波动_时长'!$D$3:$D$5</c:f>
              <c:numCache>
                <c:formatCode>0.00_ </c:formatCode>
                <c:ptCount val="2"/>
                <c:pt idx="0">
                  <c:v>0</c:v>
                </c:pt>
                <c:pt idx="1">
                  <c:v>0.550000000000001</c:v>
                </c:pt>
              </c:numCache>
            </c:numRef>
          </c:val>
        </c:ser>
        <c:ser>
          <c:idx val="3"/>
          <c:order val="3"/>
          <c:tx>
            <c:strRef>
              <c:f>'re1 能量波动_时长'!$E$1:$E$2</c:f>
              <c:strCache>
                <c:ptCount val="1"/>
                <c:pt idx="0">
                  <c:v>🙂 平稳/平衡</c:v>
                </c:pt>
              </c:strCache>
            </c:strRef>
          </c:tx>
          <c:spPr>
            <a:gradFill>
              <a:gsLst>
                <a:gs pos="100000">
                  <a:schemeClr val="accent4"/>
                </a:gs>
                <a:gs pos="0">
                  <a:schemeClr val="accent4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4">
                      <a:lumMod val="75000"/>
                    </a:schemeClr>
                  </a:gs>
                  <a:gs pos="0">
                    <a:schemeClr val="accent4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're1 能量波动_时长'!$A$3:$A$5</c:f>
              <c:strCache>
                <c:ptCount val="2"/>
                <c:pt idx="0">
                  <c:v>1月15日</c:v>
                </c:pt>
                <c:pt idx="1">
                  <c:v>1月16日</c:v>
                </c:pt>
              </c:strCache>
            </c:strRef>
          </c:cat>
          <c:val>
            <c:numRef>
              <c:f>'re1 能量波动_时长'!$E$3:$E$5</c:f>
              <c:numCache>
                <c:formatCode>0.00_ </c:formatCode>
                <c:ptCount val="2"/>
                <c:pt idx="0">
                  <c:v>0</c:v>
                </c:pt>
                <c:pt idx="1">
                  <c:v>0.733333333333334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0"/>
        <c:overlap val="-50"/>
        <c:axId val="823596283"/>
        <c:axId val="552420387"/>
      </c:barChart>
      <c:catAx>
        <c:axId val="8235962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2420387"/>
        <c:crosses val="autoZero"/>
        <c:auto val="1"/>
        <c:lblAlgn val="ctr"/>
        <c:lblOffset val="100"/>
        <c:noMultiLvlLbl val="0"/>
      </c:catAx>
      <c:valAx>
        <c:axId val="5524203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35962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9c949eb-e9a0-4fa2-9c22-0c9280eff6a9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[【能量管理-样板】.xlsm]re2 计划利用率!数据透视表2</c:name>
    <c:fmtId val="0"/>
  </c:pivotSource>
  <c:chart>
    <c:autoTitleDeleted val="1"/>
    <c:plotArea>
      <c:layout/>
      <c:pieChart>
        <c:varyColors val="1"/>
        <c:ser>
          <c:idx val="0"/>
          <c:order val="0"/>
          <c:tx>
            <c:strRef>
              <c:f>'re2 计划利用率'!$B$4</c:f>
              <c:strCache>
                <c:ptCount val="1"/>
                <c:pt idx="0">
                  <c:v>汇总</c:v>
                </c:pt>
              </c:strCache>
            </c:strRef>
          </c:tx>
          <c:spPr/>
          <c:explosion val="0"/>
          <c:dPt>
            <c:idx val="0"/>
            <c:bubble3D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9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Pt>
            <c:idx val="1"/>
            <c:bubble3D val="0"/>
            <c:spPr>
              <a:gradFill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9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/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400000" scaled="1"/>
                </a:gradFill>
              </a:ln>
              <a:effectLst/>
            </c:spPr>
          </c:dPt>
          <c:dLbls>
            <c:dLbl>
              <c:idx val="0"/>
              <c:layout>
                <c:manualLayout>
                  <c:x val="0.24532297917402"/>
                  <c:y val="0.0139909059111577"/>
                </c:manualLayout>
              </c:layout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340356564019449"/>
                  <c:y val="-0.00919963201471941"/>
                </c:manualLayout>
              </c:layout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zh-CN"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're2 计划利用率'!$A$5:$A$6</c:f>
              <c:strCache>
                <c:ptCount val="2"/>
                <c:pt idx="0">
                  <c:v>求和项:耗时/h</c:v>
                </c:pt>
                <c:pt idx="1">
                  <c:v>求和项:计划以外的时间总和</c:v>
                </c:pt>
              </c:strCache>
            </c:strRef>
          </c:cat>
          <c:val>
            <c:numRef>
              <c:f>'re2 计划利用率'!$B$5:$B$6</c:f>
              <c:numCache>
                <c:formatCode>General</c:formatCode>
                <c:ptCount val="2"/>
                <c:pt idx="0">
                  <c:v>0.233333333333333</c:v>
                </c:pt>
                <c:pt idx="1">
                  <c:v>23.7666666666667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d2d1a66-d8aa-4f69-9c10-5e77b7a9a2c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95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35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  <a:round/>
      </a:ln>
      <a:effectLst>
        <a:outerShdw blurRad="50800" dist="25400" dir="5400000" algn="t" rotWithShape="0">
          <a:schemeClr val="phClr">
            <a:lumMod val="50000"/>
            <a:alpha val="30000"/>
          </a:schemeClr>
        </a:outerShdw>
      </a:effectLst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0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54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462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0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657225</xdr:colOff>
      <xdr:row>0</xdr:row>
      <xdr:rowOff>28575</xdr:rowOff>
    </xdr:from>
    <xdr:to>
      <xdr:col>0</xdr:col>
      <xdr:colOff>1990725</xdr:colOff>
      <xdr:row>0</xdr:row>
      <xdr:rowOff>400050</xdr:rowOff>
    </xdr:to>
    <xdr:sp macro="[0]!toggleTimer">
      <xdr:nvSpPr>
        <xdr:cNvPr id="3" name="calB"/>
        <xdr:cNvSpPr/>
      </xdr:nvSpPr>
      <xdr:spPr>
        <a:xfrm>
          <a:off x="657225" y="28575"/>
          <a:ext cx="1333500" cy="371475"/>
        </a:xfrm>
        <a:prstGeom prst="roundRect">
          <a:avLst/>
        </a:prstGeom>
        <a:gradFill>
          <a:gsLst>
            <a:gs pos="0">
              <a:srgbClr val="00FF00"/>
            </a:gs>
            <a:gs pos="100000">
              <a:schemeClr val="accent1"/>
            </a:gs>
          </a:gsLst>
        </a:gradFill>
      </xdr:spPr>
      <xdr:style>
        <a:lnRef idx="0">
          <a:srgbClr val="FFFFFF"/>
        </a:lnRef>
        <a:fillRef idx="2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100"/>
            <a:t>开始计时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266700</xdr:colOff>
      <xdr:row>28</xdr:row>
      <xdr:rowOff>31750</xdr:rowOff>
    </xdr:from>
    <xdr:to>
      <xdr:col>22</xdr:col>
      <xdr:colOff>387350</xdr:colOff>
      <xdr:row>52</xdr:row>
      <xdr:rowOff>91440</xdr:rowOff>
    </xdr:to>
    <xdr:graphicFrame>
      <xdr:nvGraphicFramePr>
        <xdr:cNvPr id="3" name="图表 2" descr="7b0a202020202263686172745265734964223a20223230343735343234220a7d0a"/>
        <xdr:cNvGraphicFramePr/>
      </xdr:nvGraphicFramePr>
      <xdr:xfrm>
        <a:off x="10391775" y="4953000"/>
        <a:ext cx="5607050" cy="41744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1</xdr:row>
      <xdr:rowOff>25400</xdr:rowOff>
    </xdr:from>
    <xdr:to>
      <xdr:col>12</xdr:col>
      <xdr:colOff>149225</xdr:colOff>
      <xdr:row>26</xdr:row>
      <xdr:rowOff>123190</xdr:rowOff>
    </xdr:to>
    <xdr:graphicFrame>
      <xdr:nvGraphicFramePr>
        <xdr:cNvPr id="2" name="图表 1" descr="7b0a202020202263686172745265734964223a202234343733313938220a7d0a"/>
        <xdr:cNvGraphicFramePr/>
      </xdr:nvGraphicFramePr>
      <xdr:xfrm>
        <a:off x="1295400" y="317500"/>
        <a:ext cx="7607300" cy="4384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314325</xdr:colOff>
      <xdr:row>1</xdr:row>
      <xdr:rowOff>28575</xdr:rowOff>
    </xdr:from>
    <xdr:to>
      <xdr:col>22</xdr:col>
      <xdr:colOff>247650</xdr:colOff>
      <xdr:row>26</xdr:row>
      <xdr:rowOff>113030</xdr:rowOff>
    </xdr:to>
    <xdr:graphicFrame>
      <xdr:nvGraphicFramePr>
        <xdr:cNvPr id="5" name="图表 4" descr="7b0a202020202263686172745265734964223a202234363235383434220a7d0a"/>
        <xdr:cNvGraphicFramePr/>
      </xdr:nvGraphicFramePr>
      <xdr:xfrm>
        <a:off x="9067800" y="320675"/>
        <a:ext cx="6791325" cy="43707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304800</xdr:colOff>
      <xdr:row>28</xdr:row>
      <xdr:rowOff>57150</xdr:rowOff>
    </xdr:from>
    <xdr:to>
      <xdr:col>14</xdr:col>
      <xdr:colOff>205740</xdr:colOff>
      <xdr:row>52</xdr:row>
      <xdr:rowOff>83820</xdr:rowOff>
    </xdr:to>
    <xdr:graphicFrame>
      <xdr:nvGraphicFramePr>
        <xdr:cNvPr id="6" name="图表 5" descr="7b0a202020202263686172745265734964223a20223230343735393537220a7d0a"/>
        <xdr:cNvGraphicFramePr/>
      </xdr:nvGraphicFramePr>
      <xdr:xfrm>
        <a:off x="5629275" y="4978400"/>
        <a:ext cx="4701540" cy="41414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673.9969444444" refreshedBy="Administrator" recordCount="8">
  <cacheSource type="worksheet">
    <worksheetSource name="ledger"/>
  </cacheSource>
  <cacheFields count="12">
    <cacheField name="日期" numFmtId="58">
      <sharedItems containsSemiMixedTypes="0" containsString="0" containsNonDate="0" containsDate="1" minDate="2025-01-15T00:00:00" maxDate="2025-01-16T00:00:00" count="2">
        <d v="2025-01-16T00:00:00"/>
        <d v="2025-01-15T00:00:00"/>
      </sharedItems>
    </cacheField>
    <cacheField name="开始时间" numFmtId="178">
      <sharedItems containsSemiMixedTypes="0" containsString="0" containsNonDate="0" containsDate="1" minDate="1899-12-30T16:28:00" maxDate="1899-12-30T23:30:00" count="8">
        <d v="1899-12-30T22:12:00"/>
        <d v="1899-12-30T21:39:00"/>
        <d v="1899-12-30T21:15:00"/>
        <d v="1899-12-30T21:01:00"/>
        <d v="1899-12-30T19:59:00"/>
        <d v="1899-12-30T17:24:00"/>
        <d v="1899-12-30T16:28:00"/>
        <d v="1899-12-30T23:30:00"/>
      </sharedItems>
    </cacheField>
    <cacheField name="结束时间" numFmtId="178">
      <sharedItems containsSemiMixedTypes="0" containsString="0" containsNonDate="0" containsDate="1" minDate="1899-12-30T08:30:00" maxDate="1899-12-30T22:40:00" count="8">
        <d v="1899-12-30T22:40:00"/>
        <d v="1899-12-30T22:12:00"/>
        <d v="1899-12-30T21:30:00"/>
        <d v="1899-12-30T21:15:00"/>
        <d v="1899-12-30T20:28:00"/>
        <d v="1899-12-30T17:45:00"/>
        <d v="1899-12-30T16:37:00"/>
        <d v="1899-12-30T08:30:00"/>
      </sharedItems>
    </cacheField>
    <cacheField name="耗时/h" numFmtId="182">
      <sharedItems containsSemiMixedTypes="0" containsString="0" containsNumber="1" minValue="0" maxValue="9" count="8">
        <n v="0.466666666666665"/>
        <n v="0.550000000000001"/>
        <n v="0.250000000000002"/>
        <n v="0.233333333333333"/>
        <n v="0.483333333333332"/>
        <n v="0.350000000000001"/>
        <n v="0.149999999999999"/>
        <n v="9"/>
      </sharedItems>
    </cacheField>
    <cacheField name="备注内容" numFmtId="0">
      <sharedItems containsBlank="1" count="5">
        <s v="看解说电影"/>
        <m/>
        <s v="完成章节&lt;模板使用说明&gt;的一部分内容"/>
        <s v="摸鱼"/>
        <s v="tiktok refugees"/>
      </sharedItems>
    </cacheField>
    <cacheField name="能量状态" numFmtId="0">
      <sharedItems containsBlank="1" count="5">
        <s v="🛌 慵懒/拖延"/>
        <s v="😊 积极/活跃"/>
        <s v="🙂 平稳/平衡"/>
        <s v="🎉 亢奋/激动"/>
        <m u="1"/>
      </sharedItems>
    </cacheField>
    <cacheField name="目标(O)" numFmtId="0">
      <sharedItems count="5">
        <s v="增益活动"/>
        <s v="无效时间"/>
        <s v="维持运转"/>
        <s v="AI Energy Alchemy"/>
        <s v="赚钱"/>
      </sharedItems>
    </cacheField>
    <cacheField name="结果期望(R)" numFmtId="0">
      <sharedItems count="6">
        <s v="娱乐、休闲、旅行"/>
        <s v="无所事事，打发时间刷视频等"/>
        <s v="早晚洗漱"/>
        <s v="教朋友构建他自己的能量系统"/>
        <s v="出卖时间和劳动力"/>
        <s v="睡眠时间"/>
      </sharedItems>
    </cacheField>
    <cacheField name="阶段行动(SA)" numFmtId="0">
      <sharedItems count="6">
        <s v="消费"/>
        <s v="打发"/>
        <s v="洗漱"/>
        <s v="写一个教学文档"/>
        <s v="上班"/>
        <s v="睡觉"/>
      </sharedItems>
    </cacheField>
    <cacheField name="用途" numFmtId="0">
      <sharedItems count="5">
        <s v="连接活动"/>
        <s v="闲置时间"/>
        <s v="基础活动"/>
        <s v="计划时间"/>
        <s v="工作时间"/>
      </sharedItems>
    </cacheField>
    <cacheField name="利用率" numFmtId="0" formula="'耗时/h'/24" databaseField="0"/>
    <cacheField name="计划以外的时间总和" numFmtId="0" formula="24-'耗时/h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</r>
  <r>
    <x v="0"/>
    <x v="2"/>
    <x v="2"/>
    <x v="2"/>
    <x v="1"/>
    <x v="2"/>
    <x v="2"/>
    <x v="2"/>
    <x v="2"/>
    <x v="2"/>
  </r>
  <r>
    <x v="0"/>
    <x v="3"/>
    <x v="3"/>
    <x v="3"/>
    <x v="2"/>
    <x v="3"/>
    <x v="3"/>
    <x v="3"/>
    <x v="3"/>
    <x v="3"/>
  </r>
  <r>
    <x v="0"/>
    <x v="4"/>
    <x v="4"/>
    <x v="4"/>
    <x v="1"/>
    <x v="2"/>
    <x v="1"/>
    <x v="1"/>
    <x v="1"/>
    <x v="1"/>
  </r>
  <r>
    <x v="0"/>
    <x v="5"/>
    <x v="5"/>
    <x v="5"/>
    <x v="3"/>
    <x v="0"/>
    <x v="4"/>
    <x v="4"/>
    <x v="4"/>
    <x v="4"/>
  </r>
  <r>
    <x v="0"/>
    <x v="6"/>
    <x v="6"/>
    <x v="6"/>
    <x v="4"/>
    <x v="0"/>
    <x v="1"/>
    <x v="1"/>
    <x v="1"/>
    <x v="1"/>
  </r>
  <r>
    <x v="1"/>
    <x v="7"/>
    <x v="7"/>
    <x v="7"/>
    <x v="1"/>
    <x v="3"/>
    <x v="2"/>
    <x v="5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1能量波动" cacheId="0" autoFormatId="1" applyNumberFormats="0" applyBorderFormats="0" applyFontFormats="0" applyPatternFormats="0" applyAlignmentFormats="0" applyWidthHeightFormats="1" dataCaption="值" updatedVersion="5" minRefreshableVersion="3" createdVersion="5" missingCaption="0" useAutoFormatting="1" compact="0" indent="0" outline="1" compactData="0" outlineData="1" showDrill="1" multipleFieldFilters="0" chartFormat="2">
  <location ref="A1:F5" firstHeaderRow="1" firstDataRow="2" firstDataCol="1"/>
  <pivotFields count="12">
    <pivotField axis="axisRow" compact="0" numFmtId="58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showAll="0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9">
        <item x="6"/>
        <item x="3"/>
        <item x="2"/>
        <item x="5"/>
        <item x="0"/>
        <item x="4"/>
        <item x="1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multipleItemSelectionAllowed="1" showAll="0">
      <items count="6">
        <item x="3"/>
        <item x="0"/>
        <item x="1"/>
        <item h="1" m="1" x="4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Col="0" dragToPage="0" dragToRow="0" compact="0" showAll="0"/>
    <pivotField dragToCol="0" dragToPage="0" dragToRow="0" compact="0" showAll="0"/>
  </pivotFields>
  <rowFields count="1">
    <field x="0"/>
  </rowFields>
  <rowItems count="3">
    <i>
      <x/>
    </i>
    <i>
      <x v="1"/>
    </i>
    <i t="grand">
      <x/>
    </i>
  </rowItems>
  <colFields count="1">
    <field x="5"/>
  </colFields>
  <colItems count="5">
    <i>
      <x/>
    </i>
    <i>
      <x v="1"/>
    </i>
    <i>
      <x v="2"/>
    </i>
    <i>
      <x v="4"/>
    </i>
    <i t="grand">
      <x/>
    </i>
  </colItems>
  <dataFields count="1">
    <dataField name="计数项:能量状态" fld="5" subtotal="count" baseField="0" baseItem="0"/>
  </dataFields>
  <formats count="1">
    <format dxfId="0">
      <pivotArea type="all" dataOnly="0" outline="0" fieldPosition="0"/>
    </format>
  </formats>
  <pivotTableStyleInfo name="PivotStylePreset4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e1能量波动" cacheId="0" autoFormatId="1" applyNumberFormats="0" applyBorderFormats="0" applyFontFormats="0" applyPatternFormats="0" applyAlignmentFormats="0" applyWidthHeightFormats="1" dataCaption="值" updatedVersion="5" minRefreshableVersion="3" createdVersion="5" missingCaption="0" useAutoFormatting="1" compact="0" indent="0" outline="1" compactData="0" outlineData="1" showDrill="1" multipleFieldFilters="0" chartFormat="2">
  <location ref="A1:F5" firstHeaderRow="1" firstDataRow="2" firstDataCol="1"/>
  <pivotFields count="12">
    <pivotField axis="axisRow" compact="0" numFmtId="58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showAll="0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items count="9">
        <item x="6"/>
        <item x="3"/>
        <item x="2"/>
        <item x="5"/>
        <item x="0"/>
        <item x="4"/>
        <item x="1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multipleItemSelectionAllowed="1" showAll="0">
      <items count="6">
        <item x="3"/>
        <item x="0"/>
        <item x="1"/>
        <item h="1" m="1" x="4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Col="0" dragToPage="0" dragToRow="0" compact="0" showAll="0"/>
    <pivotField dragToCol="0" dragToPage="0" dragToRow="0" compact="0" showAll="0"/>
  </pivotFields>
  <rowFields count="1">
    <field x="0"/>
  </rowFields>
  <rowItems count="3">
    <i>
      <x/>
    </i>
    <i>
      <x v="1"/>
    </i>
    <i t="grand">
      <x/>
    </i>
  </rowItems>
  <colFields count="1">
    <field x="5"/>
  </colFields>
  <colItems count="5">
    <i>
      <x/>
    </i>
    <i>
      <x v="1"/>
    </i>
    <i>
      <x v="2"/>
    </i>
    <i>
      <x v="4"/>
    </i>
    <i t="grand">
      <x/>
    </i>
  </colItems>
  <dataFields count="1">
    <dataField name="求和项:耗时/h" fld="3" baseField="0" baseItem="0" numFmtId="176"/>
  </dataFields>
  <formats count="3">
    <format dxfId="1">
      <pivotArea type="all" dataOnly="0" outline="0" fieldPosition="0"/>
    </format>
    <format dxfId="2">
      <pivotArea collapsedLevelsAreSubtotals="1" fieldPosition="0"/>
    </format>
    <format dxfId="3">
      <pivotArea grandRow="1" collapsedLevelsAreSubtotals="1" fieldPosition="0"/>
    </format>
  </formats>
  <pivotTableStyleInfo name="PivotStylePreset4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0" dataOnRows="1" autoFormatId="1" applyNumberFormats="0" applyBorderFormats="0" applyFontFormats="0" applyPatternFormats="0" applyAlignmentFormats="0" applyWidthHeightFormats="1" dataCaption="值" updatedVersion="5" minRefreshableVersion="3" createdVersion="5" useAutoFormatting="1" compact="0" indent="0" outline="1" compactData="0" outlineData="1" showDrill="1" multipleFieldFilters="0" chartFormat="2">
  <location ref="A4:B6" firstHeaderRow="1" firstDataRow="1" firstDataCol="1" rowPageCount="2" colPageCount="1"/>
  <pivotFields count="12">
    <pivotField axis="axisPage" compact="0" numFmtId="58" showAll="0">
      <items count="3">
        <item x="1"/>
        <item x="0"/>
        <item t="default"/>
      </items>
    </pivotField>
    <pivotField compact="0" numFmtId="178" showAll="0"/>
    <pivotField compact="0" numFmtId="178" showAll="0"/>
    <pivotField dataField="1" compact="0" numFmtId="177" showAll="0">
      <items count="9">
        <item x="6"/>
        <item x="3"/>
        <item x="2"/>
        <item x="5"/>
        <item x="0"/>
        <item x="4"/>
        <item x="1"/>
        <item x="7"/>
        <item t="default"/>
      </items>
    </pivotField>
    <pivotField compact="0" showAll="0"/>
    <pivotField compact="0" showAll="0"/>
    <pivotField compact="0" multipleItemSelectionAllowed="1" showAll="0">
      <items count="6">
        <item x="3"/>
        <item x="2"/>
        <item x="1"/>
        <item x="0"/>
        <item x="4"/>
        <item t="default"/>
      </items>
    </pivotField>
    <pivotField compact="0" showAll="0"/>
    <pivotField compact="0" showAll="0"/>
    <pivotField axis="axisPage" compact="0" multipleItemSelectionAllowed="1" showAll="0">
      <items count="6">
        <item h="1" x="4"/>
        <item h="1" x="2"/>
        <item x="3"/>
        <item h="1" x="0"/>
        <item h="1" x="1"/>
        <item t="default"/>
      </items>
    </pivotField>
    <pivotField dragToCol="0" dragToPage="0" dragToRow="0" compact="0" numFmtId="177" showAll="0"/>
    <pivotField dataField="1" dragToCol="0" dragToPage="0" dragToRow="0" compact="0" numFmtId="177" showAll="0"/>
  </pivotFields>
  <rowFields count="1">
    <field x="-2"/>
  </rowFields>
  <rowItems count="2">
    <i>
      <x/>
    </i>
    <i i="1">
      <x v="1"/>
    </i>
  </rowItems>
  <colItems count="1">
    <i/>
  </colItems>
  <pageFields count="2">
    <pageField fld="9"/>
    <pageField fld="0"/>
  </pageFields>
  <dataFields count="2">
    <dataField name="求和项:耗时/h" fld="3" baseField="0" baseItem="0" numFmtId="176"/>
    <dataField name="求和项:计划以外的时间总和" fld="11" baseField="0" baseItem="0" numFmtId="177"/>
  </dataFields>
  <formats count="1">
    <format dxfId="4">
      <pivotArea type="all" dataOnly="0" outline="0" fieldPosition="0"/>
    </format>
  </format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edger" displayName="ledger" ref="B1:K5" totalsRowShown="0">
  <tableColumns count="10">
    <tableColumn id="1" name="日期" dataDxfId="5"/>
    <tableColumn id="4" name="开始时间" dataDxfId="6"/>
    <tableColumn id="5" name="结束时间" dataDxfId="7"/>
    <tableColumn id="2" name="耗时/h" dataDxfId="8">
      <calculatedColumnFormula>IF(#REF!&gt;=#REF!,(#REF!-#REF!)*24,(1-#REF!+#REF!)*24)</calculatedColumnFormula>
    </tableColumn>
    <tableColumn id="3" name="备注内容" dataDxfId="9"/>
    <tableColumn id="6" name="能量状态" dataDxfId="10"/>
    <tableColumn id="7" name="目标(O)" dataDxfId="11"/>
    <tableColumn id="8" name="结果期望(R)" dataDxfId="12"/>
    <tableColumn id="9" name="阶段行动(SA)" dataDxfId="13"/>
    <tableColumn id="10" name="用途" dataDxfId="14"/>
  </tableColumns>
  <tableStyleInfo name="TableStylePreset1_Accent1" showFirstColumn="0" showLastColumn="0" showRowStripes="1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/>
    <pageSetUpPr autoPageBreaks="0"/>
  </sheetPr>
  <dimension ref="A1:K77"/>
  <sheetViews>
    <sheetView showGridLines="0" tabSelected="1" topLeftCell="C1" workbookViewId="0">
      <pane ySplit="1" topLeftCell="A2" activePane="bottomLeft" state="frozen"/>
      <selection/>
      <selection pane="bottomLeft" activeCell="L25" sqref="L25"/>
    </sheetView>
  </sheetViews>
  <sheetFormatPr defaultColWidth="9" defaultRowHeight="13.5"/>
  <cols>
    <col min="1" max="1" width="10.625" style="45" customWidth="1"/>
    <col min="2" max="2" width="10.625" style="46" customWidth="1"/>
    <col min="3" max="3" width="5.625" style="46" customWidth="1"/>
    <col min="4" max="4" width="19.375" style="47" customWidth="1"/>
    <col min="5" max="5" width="32" style="47" customWidth="1"/>
    <col min="6" max="6" width="19.375" style="47" customWidth="1"/>
    <col min="7" max="7" width="10.25" style="46" customWidth="1"/>
    <col min="8" max="8" width="14.375" style="47" customWidth="1"/>
    <col min="9" max="9" width="15.125" style="45" customWidth="1"/>
    <col min="10" max="10" width="9" style="45" customWidth="1"/>
    <col min="11" max="11" width="25.625" style="45" customWidth="1"/>
    <col min="12" max="12" width="19.375" style="45" customWidth="1"/>
    <col min="13" max="13" width="27.5" style="45" customWidth="1"/>
    <col min="14" max="14" width="19.125" style="45" customWidth="1"/>
    <col min="15" max="16363" width="9" style="45"/>
    <col min="16364" max="16384" width="9" style="48"/>
  </cols>
  <sheetData>
    <row r="1" s="44" customFormat="1" ht="27" customHeight="1" spans="1:11">
      <c r="A1" s="49">
        <f>SUM(C:C)</f>
        <v>24</v>
      </c>
      <c r="B1" s="50" t="s">
        <v>0</v>
      </c>
      <c r="C1" s="51" t="s">
        <v>1</v>
      </c>
      <c r="D1" s="52" t="s">
        <v>2</v>
      </c>
      <c r="E1" s="51" t="s">
        <v>3</v>
      </c>
      <c r="F1" s="51" t="s">
        <v>4</v>
      </c>
      <c r="G1" s="52" t="s">
        <v>5</v>
      </c>
      <c r="H1" s="52"/>
      <c r="I1" s="64" t="s">
        <v>6</v>
      </c>
      <c r="K1" s="65"/>
    </row>
    <row r="2" ht="20" customHeight="1" spans="2:9">
      <c r="B2" s="53"/>
      <c r="C2" s="54">
        <v>8</v>
      </c>
      <c r="D2" s="55" t="s">
        <v>7</v>
      </c>
      <c r="E2" s="56" t="s">
        <v>8</v>
      </c>
      <c r="F2" s="56" t="s">
        <v>9</v>
      </c>
      <c r="G2" s="57" t="s">
        <v>10</v>
      </c>
      <c r="H2" s="58"/>
      <c r="I2" s="66" t="s">
        <v>11</v>
      </c>
    </row>
    <row r="3" ht="20" customHeight="1" spans="2:11">
      <c r="B3" s="53"/>
      <c r="C3" s="54">
        <v>1.5</v>
      </c>
      <c r="D3" s="55" t="s">
        <v>7</v>
      </c>
      <c r="E3" s="56" t="s">
        <v>12</v>
      </c>
      <c r="F3" s="56" t="s">
        <v>13</v>
      </c>
      <c r="G3" s="57" t="s">
        <v>10</v>
      </c>
      <c r="H3" s="58"/>
      <c r="I3" s="67" t="s">
        <v>14</v>
      </c>
      <c r="K3" s="68"/>
    </row>
    <row r="4" ht="20" customHeight="1" spans="2:9">
      <c r="B4" s="53"/>
      <c r="C4" s="54">
        <v>1</v>
      </c>
      <c r="D4" s="55" t="s">
        <v>7</v>
      </c>
      <c r="E4" s="56" t="s">
        <v>15</v>
      </c>
      <c r="F4" s="56" t="s">
        <v>16</v>
      </c>
      <c r="G4" s="57" t="s">
        <v>10</v>
      </c>
      <c r="H4" s="58"/>
      <c r="I4" s="67" t="s">
        <v>17</v>
      </c>
    </row>
    <row r="5" ht="20" customHeight="1" spans="2:9">
      <c r="B5" s="53"/>
      <c r="C5" s="54"/>
      <c r="D5" s="55" t="s">
        <v>7</v>
      </c>
      <c r="E5" s="56" t="s">
        <v>18</v>
      </c>
      <c r="F5" s="56" t="s">
        <v>19</v>
      </c>
      <c r="G5" s="57" t="s">
        <v>10</v>
      </c>
      <c r="H5" s="58"/>
      <c r="I5" s="67" t="s">
        <v>20</v>
      </c>
    </row>
    <row r="6" ht="20" customHeight="1" spans="2:9">
      <c r="B6" s="53"/>
      <c r="C6" s="54">
        <v>1</v>
      </c>
      <c r="D6" s="55" t="s">
        <v>7</v>
      </c>
      <c r="E6" s="56" t="s">
        <v>21</v>
      </c>
      <c r="F6" s="56" t="s">
        <v>22</v>
      </c>
      <c r="G6" s="57" t="s">
        <v>23</v>
      </c>
      <c r="H6" s="58"/>
      <c r="I6" s="69" t="s">
        <v>24</v>
      </c>
    </row>
    <row r="7" ht="20" customHeight="1" spans="2:9">
      <c r="B7" s="53"/>
      <c r="C7" s="54"/>
      <c r="D7" s="55" t="s">
        <v>7</v>
      </c>
      <c r="E7" s="56" t="s">
        <v>25</v>
      </c>
      <c r="F7" s="56" t="s">
        <v>26</v>
      </c>
      <c r="G7" s="57" t="s">
        <v>23</v>
      </c>
      <c r="H7" s="58"/>
      <c r="I7" s="68"/>
    </row>
    <row r="8" ht="20" customHeight="1" spans="2:9">
      <c r="B8" s="53"/>
      <c r="D8" s="55" t="s">
        <v>27</v>
      </c>
      <c r="E8" s="56" t="s">
        <v>28</v>
      </c>
      <c r="F8" s="56" t="s">
        <v>29</v>
      </c>
      <c r="G8" s="57" t="s">
        <v>23</v>
      </c>
      <c r="H8" s="58"/>
      <c r="I8" s="68" t="s">
        <v>30</v>
      </c>
    </row>
    <row r="9" ht="20" customHeight="1" spans="2:9">
      <c r="B9" s="53"/>
      <c r="C9" s="46">
        <v>1</v>
      </c>
      <c r="D9" s="58" t="s">
        <v>31</v>
      </c>
      <c r="E9" s="47" t="s">
        <v>32</v>
      </c>
      <c r="F9" s="47" t="s">
        <v>33</v>
      </c>
      <c r="G9" s="59" t="s">
        <v>34</v>
      </c>
      <c r="H9" s="58"/>
      <c r="I9" s="68" t="s">
        <v>35</v>
      </c>
    </row>
    <row r="10" ht="20" customHeight="1" spans="2:9">
      <c r="B10" s="53"/>
      <c r="D10" s="58" t="s">
        <v>36</v>
      </c>
      <c r="E10" s="47" t="s">
        <v>37</v>
      </c>
      <c r="F10" s="47" t="s">
        <v>38</v>
      </c>
      <c r="G10" s="59" t="s">
        <v>34</v>
      </c>
      <c r="H10" s="58"/>
      <c r="I10" s="68" t="s">
        <v>39</v>
      </c>
    </row>
    <row r="11" ht="20" customHeight="1" spans="2:9">
      <c r="B11" s="53"/>
      <c r="D11" s="55" t="s">
        <v>40</v>
      </c>
      <c r="E11" s="56" t="s">
        <v>41</v>
      </c>
      <c r="F11" s="56" t="s">
        <v>42</v>
      </c>
      <c r="G11" s="57" t="s">
        <v>43</v>
      </c>
      <c r="H11" s="58"/>
      <c r="I11" s="68" t="s">
        <v>44</v>
      </c>
    </row>
    <row r="12" ht="20" customHeight="1" spans="2:9">
      <c r="B12" s="53"/>
      <c r="C12" s="46">
        <v>1</v>
      </c>
      <c r="D12" s="55" t="s">
        <v>40</v>
      </c>
      <c r="E12" s="56" t="s">
        <v>45</v>
      </c>
      <c r="F12" s="56" t="s">
        <v>46</v>
      </c>
      <c r="G12" s="57" t="s">
        <v>43</v>
      </c>
      <c r="H12" s="58"/>
      <c r="I12" s="68"/>
    </row>
    <row r="13" ht="20" customHeight="1" spans="2:9">
      <c r="B13" s="53"/>
      <c r="D13" s="55" t="s">
        <v>40</v>
      </c>
      <c r="E13" s="56" t="s">
        <v>47</v>
      </c>
      <c r="F13" s="56" t="s">
        <v>48</v>
      </c>
      <c r="G13" s="57" t="s">
        <v>43</v>
      </c>
      <c r="H13" s="58"/>
      <c r="I13" s="68"/>
    </row>
    <row r="14" ht="20" customHeight="1" spans="2:9">
      <c r="B14" s="53"/>
      <c r="D14" s="55" t="s">
        <v>40</v>
      </c>
      <c r="E14" s="56" t="s">
        <v>49</v>
      </c>
      <c r="F14" s="56" t="s">
        <v>50</v>
      </c>
      <c r="G14" s="57" t="s">
        <v>43</v>
      </c>
      <c r="H14" s="58"/>
      <c r="I14" s="68"/>
    </row>
    <row r="15" ht="20" customHeight="1" spans="2:9">
      <c r="B15" s="53"/>
      <c r="C15" s="46">
        <v>0.5</v>
      </c>
      <c r="D15" s="55" t="s">
        <v>40</v>
      </c>
      <c r="E15" s="56" t="s">
        <v>51</v>
      </c>
      <c r="F15" s="56" t="s">
        <v>52</v>
      </c>
      <c r="G15" s="57" t="s">
        <v>43</v>
      </c>
      <c r="H15" s="58"/>
      <c r="I15" s="68"/>
    </row>
    <row r="16" ht="20" customHeight="1" spans="2:9">
      <c r="B16" s="53"/>
      <c r="D16" s="58"/>
      <c r="G16" s="59"/>
      <c r="H16" s="58"/>
      <c r="I16" s="68"/>
    </row>
    <row r="17" ht="20" customHeight="1" spans="2:9">
      <c r="B17" s="53"/>
      <c r="C17" s="46">
        <v>8</v>
      </c>
      <c r="D17" s="60" t="s">
        <v>53</v>
      </c>
      <c r="E17" s="61" t="s">
        <v>54</v>
      </c>
      <c r="F17" s="61" t="s">
        <v>55</v>
      </c>
      <c r="G17" s="62" t="s">
        <v>56</v>
      </c>
      <c r="H17" s="63"/>
      <c r="I17" s="58" t="s">
        <v>57</v>
      </c>
    </row>
    <row r="18" ht="20" customHeight="1" spans="2:9">
      <c r="B18" s="53"/>
      <c r="C18" s="46">
        <v>2</v>
      </c>
      <c r="D18" s="60" t="s">
        <v>58</v>
      </c>
      <c r="E18" s="61" t="s">
        <v>59</v>
      </c>
      <c r="F18" s="61" t="s">
        <v>60</v>
      </c>
      <c r="G18" s="62" t="s">
        <v>61</v>
      </c>
      <c r="H18" s="63"/>
      <c r="I18" s="58" t="s">
        <v>62</v>
      </c>
    </row>
    <row r="19" ht="20" customHeight="1" spans="2:11">
      <c r="B19" s="53"/>
      <c r="D19" s="58"/>
      <c r="G19" s="59"/>
      <c r="H19" s="58"/>
      <c r="I19" s="70"/>
      <c r="J19" s="46"/>
      <c r="K19" s="46"/>
    </row>
    <row r="20" ht="20" customHeight="1" spans="2:11">
      <c r="B20" s="53"/>
      <c r="D20" s="58" t="s">
        <v>60</v>
      </c>
      <c r="E20" s="47" t="s">
        <v>63</v>
      </c>
      <c r="F20" s="47" t="s">
        <v>64</v>
      </c>
      <c r="G20" s="59" t="s">
        <v>65</v>
      </c>
      <c r="H20" s="63"/>
      <c r="I20" s="58" t="s">
        <v>66</v>
      </c>
      <c r="J20" s="46"/>
      <c r="K20" s="46"/>
    </row>
    <row r="21" ht="20" customHeight="1" spans="2:9">
      <c r="B21" s="53"/>
      <c r="D21" s="58" t="s">
        <v>60</v>
      </c>
      <c r="E21" s="47" t="s">
        <v>63</v>
      </c>
      <c r="F21" s="47" t="s">
        <v>67</v>
      </c>
      <c r="G21" s="59" t="s">
        <v>65</v>
      </c>
      <c r="H21" s="58"/>
      <c r="I21" s="68"/>
    </row>
    <row r="22" ht="20" customHeight="1" spans="2:8">
      <c r="B22" s="53"/>
      <c r="D22" s="58" t="s">
        <v>60</v>
      </c>
      <c r="E22" s="47" t="s">
        <v>68</v>
      </c>
      <c r="F22" s="47" t="s">
        <v>69</v>
      </c>
      <c r="G22" s="59" t="s">
        <v>65</v>
      </c>
      <c r="H22" s="58"/>
    </row>
    <row r="23" ht="20" customHeight="1" spans="2:8">
      <c r="B23" s="53"/>
      <c r="D23" s="58" t="s">
        <v>60</v>
      </c>
      <c r="E23" s="47" t="s">
        <v>68</v>
      </c>
      <c r="F23" s="47" t="s">
        <v>70</v>
      </c>
      <c r="G23" s="59" t="s">
        <v>65</v>
      </c>
      <c r="H23" s="58"/>
    </row>
    <row r="24" ht="20" customHeight="1" spans="2:8">
      <c r="B24" s="53"/>
      <c r="D24" s="58"/>
      <c r="G24" s="59"/>
      <c r="H24" s="58"/>
    </row>
    <row r="25" ht="20" customHeight="1" spans="2:8">
      <c r="B25" s="53"/>
      <c r="D25" s="58"/>
      <c r="G25" s="59"/>
      <c r="H25" s="58"/>
    </row>
    <row r="26" ht="20" customHeight="1" spans="2:8">
      <c r="B26" s="53"/>
      <c r="D26" s="58" t="s">
        <v>71</v>
      </c>
      <c r="E26" s="47" t="s">
        <v>72</v>
      </c>
      <c r="F26" s="47" t="s">
        <v>73</v>
      </c>
      <c r="G26" s="59" t="s">
        <v>65</v>
      </c>
      <c r="H26" s="58"/>
    </row>
    <row r="27" ht="20" customHeight="1" spans="2:8">
      <c r="B27" s="53"/>
      <c r="D27" s="58" t="s">
        <v>71</v>
      </c>
      <c r="E27" s="47" t="s">
        <v>72</v>
      </c>
      <c r="F27" s="47" t="s">
        <v>74</v>
      </c>
      <c r="G27" s="59" t="s">
        <v>65</v>
      </c>
      <c r="H27" s="58"/>
    </row>
    <row r="28" ht="18" customHeight="1" spans="4:10">
      <c r="D28" s="58" t="s">
        <v>71</v>
      </c>
      <c r="E28" s="47" t="s">
        <v>75</v>
      </c>
      <c r="F28" s="47" t="s">
        <v>76</v>
      </c>
      <c r="G28" s="59" t="s">
        <v>65</v>
      </c>
      <c r="H28" s="58"/>
      <c r="J28" s="68"/>
    </row>
    <row r="29" ht="18" customHeight="1" spans="4:10">
      <c r="D29" s="58" t="s">
        <v>71</v>
      </c>
      <c r="E29" s="47" t="s">
        <v>75</v>
      </c>
      <c r="F29" s="47" t="s">
        <v>77</v>
      </c>
      <c r="G29" s="59" t="s">
        <v>65</v>
      </c>
      <c r="H29" s="58"/>
      <c r="J29" s="68"/>
    </row>
    <row r="30" ht="18" customHeight="1" spans="4:10">
      <c r="D30" s="58" t="s">
        <v>71</v>
      </c>
      <c r="E30" s="47" t="s">
        <v>78</v>
      </c>
      <c r="F30" s="47" t="s">
        <v>79</v>
      </c>
      <c r="G30" s="59" t="s">
        <v>65</v>
      </c>
      <c r="H30" s="58"/>
      <c r="J30" s="68"/>
    </row>
    <row r="31" ht="18" customHeight="1" spans="4:10">
      <c r="D31" s="58" t="s">
        <v>71</v>
      </c>
      <c r="E31" s="47" t="s">
        <v>78</v>
      </c>
      <c r="F31" s="47" t="s">
        <v>80</v>
      </c>
      <c r="G31" s="59" t="s">
        <v>65</v>
      </c>
      <c r="H31" s="58"/>
      <c r="J31" s="68"/>
    </row>
    <row r="32" ht="18" customHeight="1" spans="4:10">
      <c r="D32" s="58"/>
      <c r="G32" s="59"/>
      <c r="H32" s="58"/>
      <c r="J32" s="68"/>
    </row>
    <row r="33" ht="18" customHeight="1" spans="4:10">
      <c r="D33" s="58"/>
      <c r="G33" s="59"/>
      <c r="H33" s="58"/>
      <c r="J33" s="68"/>
    </row>
    <row r="34" ht="18" customHeight="1" spans="4:10">
      <c r="D34" s="58"/>
      <c r="G34" s="59"/>
      <c r="H34" s="58"/>
      <c r="J34" s="68"/>
    </row>
    <row r="35" ht="18" customHeight="1" spans="4:10">
      <c r="D35" s="58"/>
      <c r="G35" s="59"/>
      <c r="H35" s="58"/>
      <c r="J35" s="68"/>
    </row>
    <row r="36" ht="18" customHeight="1" spans="4:10">
      <c r="D36" s="58"/>
      <c r="G36" s="59"/>
      <c r="H36" s="58"/>
      <c r="J36" s="68"/>
    </row>
    <row r="37" ht="18" customHeight="1" spans="4:8">
      <c r="D37" s="58"/>
      <c r="G37" s="59"/>
      <c r="H37" s="58"/>
    </row>
    <row r="38" ht="18" customHeight="1" spans="4:8">
      <c r="D38" s="58"/>
      <c r="G38" s="59"/>
      <c r="H38" s="58"/>
    </row>
    <row r="39" ht="18" customHeight="1" spans="4:8">
      <c r="D39" s="58"/>
      <c r="G39" s="59"/>
      <c r="H39" s="58"/>
    </row>
    <row r="40" ht="18" customHeight="1" spans="4:8">
      <c r="D40" s="58"/>
      <c r="G40" s="59"/>
      <c r="H40" s="58"/>
    </row>
    <row r="41" ht="18" customHeight="1" spans="4:8">
      <c r="D41" s="58"/>
      <c r="G41" s="59"/>
      <c r="H41" s="58"/>
    </row>
    <row r="42" ht="18" customHeight="1" spans="4:8">
      <c r="D42" s="58"/>
      <c r="G42" s="59"/>
      <c r="H42" s="58"/>
    </row>
    <row r="43" ht="18" customHeight="1" spans="4:8">
      <c r="D43" s="58"/>
      <c r="G43" s="59"/>
      <c r="H43" s="58"/>
    </row>
    <row r="44" ht="18" customHeight="1" spans="4:8">
      <c r="D44" s="58"/>
      <c r="G44" s="59"/>
      <c r="H44" s="58"/>
    </row>
    <row r="45" ht="18" customHeight="1" spans="7:8">
      <c r="G45" s="59"/>
      <c r="H45" s="58"/>
    </row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</sheetData>
  <conditionalFormatting sqref="A2">
    <cfRule type="iconSet" priority="4">
      <iconSet iconSet="3TrafficLights1">
        <cfvo type="percent" val="0"/>
        <cfvo type="percent" val="33"/>
        <cfvo type="percent" val="67"/>
      </iconSet>
    </cfRule>
  </conditionalFormatting>
  <pageMargins left="0.751388888888889" right="0.751388888888889" top="1" bottom="1" header="0.5" footer="0.5"/>
  <pageSetup paperSize="9" orientation="portrait" horizontalDpi="6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2" tint="-0.1"/>
  </sheetPr>
  <dimension ref="A1:K5"/>
  <sheetViews>
    <sheetView showGridLines="0" workbookViewId="0">
      <pane ySplit="1" topLeftCell="A2" activePane="bottomLeft" state="frozen"/>
      <selection/>
      <selection pane="bottomLeft" activeCell="C32" sqref="C32"/>
    </sheetView>
  </sheetViews>
  <sheetFormatPr defaultColWidth="9" defaultRowHeight="13.5" outlineLevelRow="4"/>
  <cols>
    <col min="1" max="1" width="27.875" style="32" customWidth="1"/>
    <col min="2" max="2" width="8.125" style="33" customWidth="1"/>
    <col min="3" max="4" width="9.375" style="34" customWidth="1"/>
    <col min="5" max="5" width="7.625" style="35" customWidth="1"/>
    <col min="6" max="6" width="22.625" style="36" customWidth="1"/>
    <col min="7" max="7" width="15.125" customWidth="1"/>
    <col min="8" max="8" width="22.25" style="37" customWidth="1"/>
    <col min="9" max="9" width="27.5" style="38" customWidth="1"/>
    <col min="10" max="10" width="14.375" customWidth="1"/>
    <col min="11" max="11" width="12.5" customWidth="1"/>
    <col min="12" max="12" width="7.75" style="32" customWidth="1"/>
    <col min="13" max="13" width="9" style="32"/>
    <col min="14" max="14" width="9.875" style="32" customWidth="1"/>
    <col min="15" max="16378" width="9" style="32"/>
  </cols>
  <sheetData>
    <row r="1" s="31" customFormat="1" ht="36" customHeight="1" spans="1:11">
      <c r="A1" s="1"/>
      <c r="B1" s="39" t="s">
        <v>81</v>
      </c>
      <c r="C1" s="34" t="s">
        <v>82</v>
      </c>
      <c r="D1" s="34" t="s">
        <v>83</v>
      </c>
      <c r="E1" s="35" t="s">
        <v>84</v>
      </c>
      <c r="F1" s="40" t="s">
        <v>85</v>
      </c>
      <c r="G1" s="41" t="s">
        <v>6</v>
      </c>
      <c r="H1" s="42" t="s">
        <v>2</v>
      </c>
      <c r="I1" s="39" t="s">
        <v>3</v>
      </c>
      <c r="J1" s="39" t="s">
        <v>4</v>
      </c>
      <c r="K1" s="39" t="s">
        <v>5</v>
      </c>
    </row>
    <row r="2" s="31" customFormat="1" ht="36" customHeight="1" spans="1:11">
      <c r="A2" s="1"/>
      <c r="B2" s="43">
        <v>45673</v>
      </c>
      <c r="C2" s="34">
        <v>0.925</v>
      </c>
      <c r="D2" s="34">
        <v>0.944444444444444</v>
      </c>
      <c r="E2" s="35">
        <f>IF(D2&gt;=C2,(D2-C2)*24,(1-C2+D2)*24)</f>
        <v>0.466666666666654</v>
      </c>
      <c r="F2" s="40" t="s">
        <v>86</v>
      </c>
      <c r="G2" s="41" t="s">
        <v>14</v>
      </c>
      <c r="H2" s="42" t="s">
        <v>40</v>
      </c>
      <c r="I2" s="39" t="s">
        <v>49</v>
      </c>
      <c r="J2" s="39" t="s">
        <v>50</v>
      </c>
      <c r="K2" s="39" t="s">
        <v>43</v>
      </c>
    </row>
    <row r="3" s="31" customFormat="1" ht="36" customHeight="1" spans="1:11">
      <c r="A3" s="1"/>
      <c r="B3" s="43">
        <v>45673</v>
      </c>
      <c r="C3" s="34">
        <v>0.902083333333333</v>
      </c>
      <c r="D3" s="34">
        <v>0.925</v>
      </c>
      <c r="E3" s="35">
        <f>IF(D3&gt;=C3,(D3-C3)*24,(1-C3+D3)*24)</f>
        <v>0.550000000000009</v>
      </c>
      <c r="F3" s="40"/>
      <c r="G3" s="41" t="s">
        <v>20</v>
      </c>
      <c r="H3" s="42" t="s">
        <v>31</v>
      </c>
      <c r="I3" s="39" t="s">
        <v>32</v>
      </c>
      <c r="J3" s="39" t="s">
        <v>33</v>
      </c>
      <c r="K3" s="39" t="s">
        <v>34</v>
      </c>
    </row>
    <row r="4" s="31" customFormat="1" ht="36" customHeight="1" spans="1:11">
      <c r="A4" s="1"/>
      <c r="B4" s="43">
        <v>45673</v>
      </c>
      <c r="C4" s="34">
        <v>0.875694444444444</v>
      </c>
      <c r="D4" s="34">
        <v>0.885416666666667</v>
      </c>
      <c r="E4" s="35">
        <f>IF(D4&gt;=C4,(D4-C4)*24,(1-C4+D4)*24)</f>
        <v>0.233333333333351</v>
      </c>
      <c r="F4" s="36" t="s">
        <v>87</v>
      </c>
      <c r="G4" s="41" t="s">
        <v>24</v>
      </c>
      <c r="H4" s="42" t="s">
        <v>60</v>
      </c>
      <c r="I4" s="39" t="s">
        <v>68</v>
      </c>
      <c r="J4" s="39" t="s">
        <v>69</v>
      </c>
      <c r="K4" s="39" t="s">
        <v>65</v>
      </c>
    </row>
    <row r="5" s="31" customFormat="1" ht="36" customHeight="1" spans="1:11">
      <c r="A5" s="1"/>
      <c r="B5" s="43">
        <v>45673</v>
      </c>
      <c r="C5" s="34">
        <v>0.832638888888889</v>
      </c>
      <c r="D5" s="34">
        <v>0.852777777777778</v>
      </c>
      <c r="E5" s="35">
        <f>IF(D5&gt;=C5,(D5-C5)*24,(1-C5+D5)*24)</f>
        <v>0.483333333333334</v>
      </c>
      <c r="F5" s="36"/>
      <c r="G5" s="41" t="s">
        <v>17</v>
      </c>
      <c r="H5" s="42" t="s">
        <v>31</v>
      </c>
      <c r="I5" s="39" t="s">
        <v>32</v>
      </c>
      <c r="J5" s="39" t="s">
        <v>33</v>
      </c>
      <c r="K5" s="39" t="s">
        <v>34</v>
      </c>
    </row>
  </sheetData>
  <dataValidations count="1">
    <dataValidation type="list" allowBlank="1" showInputMessage="1" showErrorMessage="1" sqref="G1 G2:G1048576">
      <formula1>计划清单!$I$1:$I$6</formula1>
    </dataValidation>
  </dataValidations>
  <pageMargins left="0.75" right="0.75" top="1" bottom="1" header="0.5" footer="0.5"/>
  <headerFooter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6"/>
  </sheetPr>
  <dimension ref="B1:I9"/>
  <sheetViews>
    <sheetView showGridLines="0" workbookViewId="0">
      <selection activeCell="S11" sqref="S11"/>
    </sheetView>
  </sheetViews>
  <sheetFormatPr defaultColWidth="9" defaultRowHeight="13.5"/>
  <cols>
    <col min="1" max="1" width="28" customWidth="1"/>
    <col min="2" max="2" width="8.875" style="5" customWidth="1"/>
    <col min="3" max="3" width="8.875" style="2" customWidth="1"/>
    <col min="4" max="4" width="7.375" style="6" customWidth="1"/>
    <col min="5" max="5" width="6.375" style="2" customWidth="1"/>
    <col min="6" max="6" width="8.875" style="2" customWidth="1"/>
    <col min="7" max="7" width="8.875" style="1" customWidth="1"/>
    <col min="8" max="8" width="12.75"/>
    <col min="10" max="10" width="11.375"/>
    <col min="11" max="11" width="9.125"/>
    <col min="12" max="12" width="15.125"/>
    <col min="13" max="13" width="11.375"/>
    <col min="14" max="14" width="8.125"/>
    <col min="15" max="15" width="18.25"/>
  </cols>
  <sheetData>
    <row r="1" ht="60" customHeight="1" spans="3:3">
      <c r="C1" s="1"/>
    </row>
    <row r="2" ht="32" customHeight="1" spans="2:9">
      <c r="B2" s="7"/>
      <c r="C2" s="8" t="s">
        <v>88</v>
      </c>
      <c r="D2" s="9" t="s">
        <v>89</v>
      </c>
      <c r="E2" s="10" t="s">
        <v>90</v>
      </c>
      <c r="F2" s="11" t="s">
        <v>91</v>
      </c>
      <c r="G2" s="12" t="s">
        <v>92</v>
      </c>
      <c r="I2" s="30" t="s">
        <v>93</v>
      </c>
    </row>
    <row r="3" ht="18" customHeight="1" spans="2:9">
      <c r="B3" s="13" t="s">
        <v>10</v>
      </c>
      <c r="C3" s="14">
        <f>SUMIF(计划清单!G:G,B3,计划清单!C:C)</f>
        <v>10.5</v>
      </c>
      <c r="D3" s="15">
        <f t="shared" ref="D3:D8" si="0">C3/24</f>
        <v>0.4375</v>
      </c>
      <c r="E3" s="16">
        <f ca="1">SUMIFS(记录时间!E:E,记录时间!K:K,B3,记录时间!B:B,TODAY())</f>
        <v>0</v>
      </c>
      <c r="F3" s="17">
        <f ca="1" t="shared" ref="F3:F8" si="1">TIME(INT(E3),(E3-INT(E3))*60,0)</f>
        <v>0</v>
      </c>
      <c r="G3" s="18">
        <f ca="1" t="shared" ref="G3:G9" si="2">E3/24</f>
        <v>0</v>
      </c>
      <c r="I3" t="s">
        <v>94</v>
      </c>
    </row>
    <row r="4" ht="18" customHeight="1" spans="2:9">
      <c r="B4" s="13" t="s">
        <v>43</v>
      </c>
      <c r="C4" s="14">
        <f>SUMIF(计划清单!G:G,B4,计划清单!C:C)</f>
        <v>1.5</v>
      </c>
      <c r="D4" s="15">
        <f t="shared" si="0"/>
        <v>0.0625</v>
      </c>
      <c r="E4" s="16">
        <f ca="1">SUMIFS(记录时间!E:E,记录时间!K:K,B4,记录时间!B:B,TODAY())</f>
        <v>0</v>
      </c>
      <c r="F4" s="17">
        <f ca="1" t="shared" si="1"/>
        <v>0</v>
      </c>
      <c r="G4" s="18">
        <f ca="1" t="shared" si="2"/>
        <v>0</v>
      </c>
      <c r="I4" t="s">
        <v>95</v>
      </c>
    </row>
    <row r="5" ht="18" customHeight="1" spans="2:7">
      <c r="B5" s="13" t="s">
        <v>23</v>
      </c>
      <c r="C5" s="14">
        <f>SUMIF(计划清单!G:G,B5,计划清单!C:C)</f>
        <v>1</v>
      </c>
      <c r="D5" s="15">
        <f t="shared" si="0"/>
        <v>0.0416666666666667</v>
      </c>
      <c r="E5" s="16">
        <f ca="1">SUMIFS(记录时间!E:E,记录时间!K:K,B5,记录时间!B:B,TODAY())</f>
        <v>0</v>
      </c>
      <c r="F5" s="17">
        <f ca="1" t="shared" si="1"/>
        <v>0</v>
      </c>
      <c r="G5" s="18">
        <f ca="1" t="shared" si="2"/>
        <v>0</v>
      </c>
    </row>
    <row r="6" ht="18" customHeight="1" spans="2:7">
      <c r="B6" s="13" t="s">
        <v>34</v>
      </c>
      <c r="C6" s="14">
        <f>SUMIF(计划清单!G:G,B6,计划清单!C:C)</f>
        <v>1</v>
      </c>
      <c r="D6" s="15">
        <f t="shared" si="0"/>
        <v>0.0416666666666667</v>
      </c>
      <c r="E6" s="16">
        <f ca="1">SUMIFS(记录时间!E:E,记录时间!K:K,B6,记录时间!B:B,TODAY())</f>
        <v>0</v>
      </c>
      <c r="F6" s="17">
        <f ca="1" t="shared" si="1"/>
        <v>0</v>
      </c>
      <c r="G6" s="18">
        <f ca="1" t="shared" si="2"/>
        <v>0</v>
      </c>
    </row>
    <row r="7" ht="28" customHeight="1" spans="2:7">
      <c r="B7" s="19" t="s">
        <v>56</v>
      </c>
      <c r="C7" s="20">
        <f>SUMIF(计划清单!G:G,B7,计划清单!C:C)</f>
        <v>8</v>
      </c>
      <c r="D7" s="21">
        <f t="shared" si="0"/>
        <v>0.333333333333333</v>
      </c>
      <c r="E7" s="22">
        <f ca="1">SUMIFS(记录时间!E:E,记录时间!K:K,B7,记录时间!B:B,TODAY())</f>
        <v>0</v>
      </c>
      <c r="F7" s="23">
        <f ca="1" t="shared" si="1"/>
        <v>0</v>
      </c>
      <c r="G7" s="24">
        <f ca="1" t="shared" si="2"/>
        <v>0</v>
      </c>
    </row>
    <row r="8" ht="28" customHeight="1" spans="2:7">
      <c r="B8" s="19" t="s">
        <v>65</v>
      </c>
      <c r="C8" s="20">
        <f>SUMIF(计划清单!G:G,B8,计划清单!C:C)+SUMIF(计划清单!G:G,"项目",计划清单!C:C)</f>
        <v>2</v>
      </c>
      <c r="D8" s="21">
        <f t="shared" si="0"/>
        <v>0.0833333333333333</v>
      </c>
      <c r="E8" s="22">
        <f ca="1">SUMIFS(记录时间!E:E,记录时间!K:K,B8,记录时间!B:B,TODAY())</f>
        <v>0</v>
      </c>
      <c r="F8" s="23">
        <f ca="1" t="shared" si="1"/>
        <v>0</v>
      </c>
      <c r="G8" s="24">
        <f ca="1" t="shared" si="2"/>
        <v>0</v>
      </c>
    </row>
    <row r="9" ht="30" customHeight="1" spans="2:7">
      <c r="B9" s="25" t="s">
        <v>96</v>
      </c>
      <c r="C9" s="26">
        <f>SUM(C3:C8)</f>
        <v>24</v>
      </c>
      <c r="D9" s="26"/>
      <c r="E9" s="27">
        <f ca="1">SUM(E3:E8)</f>
        <v>0</v>
      </c>
      <c r="F9" s="28">
        <f ca="1">SUM(F3:F8)</f>
        <v>0</v>
      </c>
      <c r="G9" s="29">
        <f ca="1" t="shared" si="2"/>
        <v>0</v>
      </c>
    </row>
  </sheetData>
  <mergeCells count="1">
    <mergeCell ref="C9:D9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K16" sqref="K16"/>
    </sheetView>
  </sheetViews>
  <sheetFormatPr defaultColWidth="9" defaultRowHeight="13.5" outlineLevelRow="4" outlineLevelCol="5"/>
  <cols>
    <col min="1" max="1" width="17.25"/>
    <col min="2" max="5" width="15.125"/>
    <col min="6" max="6" width="5.125"/>
    <col min="7" max="9" width="16.8333333333333"/>
    <col min="10" max="11" width="18.375"/>
  </cols>
  <sheetData>
    <row r="1" spans="1:6">
      <c r="A1" s="1" t="s">
        <v>97</v>
      </c>
      <c r="B1" s="1" t="s">
        <v>6</v>
      </c>
      <c r="C1" s="1"/>
      <c r="D1" s="1"/>
      <c r="E1" s="1"/>
      <c r="F1" s="1"/>
    </row>
    <row r="2" spans="1:6">
      <c r="A2" s="1" t="s">
        <v>81</v>
      </c>
      <c r="B2" s="1" t="s">
        <v>24</v>
      </c>
      <c r="C2" s="1" t="s">
        <v>14</v>
      </c>
      <c r="D2" s="1" t="s">
        <v>20</v>
      </c>
      <c r="E2" s="1" t="s">
        <v>17</v>
      </c>
      <c r="F2" s="1" t="s">
        <v>96</v>
      </c>
    </row>
    <row r="3" spans="1:6">
      <c r="A3" s="4">
        <v>45672</v>
      </c>
      <c r="B3" s="1">
        <v>1</v>
      </c>
      <c r="C3" s="1">
        <v>0</v>
      </c>
      <c r="D3" s="1">
        <v>0</v>
      </c>
      <c r="E3" s="1">
        <v>0</v>
      </c>
      <c r="F3" s="1">
        <v>1</v>
      </c>
    </row>
    <row r="4" spans="1:6">
      <c r="A4" s="4">
        <v>45673</v>
      </c>
      <c r="B4" s="1">
        <v>1</v>
      </c>
      <c r="C4" s="1">
        <v>3</v>
      </c>
      <c r="D4" s="1">
        <v>1</v>
      </c>
      <c r="E4" s="1">
        <v>2</v>
      </c>
      <c r="F4" s="1">
        <v>7</v>
      </c>
    </row>
    <row r="5" spans="1:6">
      <c r="A5" s="1" t="s">
        <v>96</v>
      </c>
      <c r="B5" s="1">
        <v>2</v>
      </c>
      <c r="C5" s="1">
        <v>3</v>
      </c>
      <c r="D5" s="1">
        <v>1</v>
      </c>
      <c r="E5" s="1">
        <v>2</v>
      </c>
      <c r="F5" s="1">
        <v>8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workbookViewId="0">
      <selection activeCell="I6" sqref="I6"/>
    </sheetView>
  </sheetViews>
  <sheetFormatPr defaultColWidth="9" defaultRowHeight="13.5" outlineLevelRow="4" outlineLevelCol="5"/>
  <cols>
    <col min="1" max="1" width="15.25"/>
    <col min="2" max="5" width="15.125"/>
    <col min="6" max="6" width="7.375"/>
    <col min="7" max="9" width="16.8333333333333"/>
    <col min="10" max="11" width="18.375"/>
  </cols>
  <sheetData>
    <row r="1" spans="1:6">
      <c r="A1" s="1" t="s">
        <v>98</v>
      </c>
      <c r="B1" s="1" t="s">
        <v>6</v>
      </c>
      <c r="C1" s="1"/>
      <c r="D1" s="1"/>
      <c r="E1" s="1"/>
      <c r="F1" s="1"/>
    </row>
    <row r="2" spans="1:6">
      <c r="A2" s="1" t="s">
        <v>81</v>
      </c>
      <c r="B2" s="1" t="s">
        <v>24</v>
      </c>
      <c r="C2" s="1" t="s">
        <v>14</v>
      </c>
      <c r="D2" s="1" t="s">
        <v>20</v>
      </c>
      <c r="E2" s="1" t="s">
        <v>17</v>
      </c>
      <c r="F2" s="1" t="s">
        <v>96</v>
      </c>
    </row>
    <row r="3" spans="1:6">
      <c r="A3" s="4">
        <v>45672</v>
      </c>
      <c r="B3" s="2">
        <v>9</v>
      </c>
      <c r="C3" s="2">
        <v>0</v>
      </c>
      <c r="D3" s="2">
        <v>0</v>
      </c>
      <c r="E3" s="2">
        <v>0</v>
      </c>
      <c r="F3" s="2">
        <v>9</v>
      </c>
    </row>
    <row r="4" spans="1:6">
      <c r="A4" s="4">
        <v>45673</v>
      </c>
      <c r="B4" s="2">
        <v>0.233333333333333</v>
      </c>
      <c r="C4" s="2">
        <v>0.966666666666665</v>
      </c>
      <c r="D4" s="2">
        <v>0.550000000000001</v>
      </c>
      <c r="E4" s="2">
        <v>0.733333333333334</v>
      </c>
      <c r="F4" s="2">
        <v>2.48333333333333</v>
      </c>
    </row>
    <row r="5" spans="1:6">
      <c r="A5" s="1" t="s">
        <v>96</v>
      </c>
      <c r="B5" s="2">
        <v>9.23333333333333</v>
      </c>
      <c r="C5" s="2">
        <v>0.966666666666665</v>
      </c>
      <c r="D5" s="2">
        <v>0.550000000000001</v>
      </c>
      <c r="E5" s="2">
        <v>0.733333333333334</v>
      </c>
      <c r="F5" s="2">
        <v>11.4833333333333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8"/>
  <sheetViews>
    <sheetView workbookViewId="0">
      <selection activeCell="H11" sqref="H11"/>
    </sheetView>
  </sheetViews>
  <sheetFormatPr defaultColWidth="9" defaultRowHeight="13.5" outlineLevelCol="2"/>
  <cols>
    <col min="1" max="1" width="26.5" style="1"/>
    <col min="2" max="2" width="12.875" style="1"/>
    <col min="3" max="3" width="26.5" style="1"/>
    <col min="5" max="5" width="8.875"/>
    <col min="6" max="6" width="15.25"/>
    <col min="7" max="11" width="12.625"/>
  </cols>
  <sheetData>
    <row r="1" spans="1:3">
      <c r="A1" s="1" t="s">
        <v>5</v>
      </c>
      <c r="B1" s="1" t="s">
        <v>65</v>
      </c>
      <c r="C1"/>
    </row>
    <row r="2" spans="1:3">
      <c r="A2" s="1" t="s">
        <v>81</v>
      </c>
      <c r="B2" s="1" t="s">
        <v>99</v>
      </c>
      <c r="C2"/>
    </row>
    <row r="3" spans="1:3">
      <c r="A3"/>
      <c r="B3"/>
      <c r="C3"/>
    </row>
    <row r="4" spans="1:3">
      <c r="A4" s="1" t="s">
        <v>100</v>
      </c>
      <c r="C4"/>
    </row>
    <row r="5" spans="1:3">
      <c r="A5" s="1" t="s">
        <v>98</v>
      </c>
      <c r="B5" s="2">
        <v>0.233333333333333</v>
      </c>
      <c r="C5"/>
    </row>
    <row r="6" spans="1:3">
      <c r="A6" s="1" t="s">
        <v>101</v>
      </c>
      <c r="B6" s="3">
        <v>23.7666666666667</v>
      </c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H43" sqref="H43"/>
    </sheetView>
  </sheetViews>
  <sheetFormatPr defaultColWidth="9" defaultRowHeight="13.5"/>
  <sheetData/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4"/>
  </sheetPr>
  <dimension ref="A1"/>
  <sheetViews>
    <sheetView showGridLines="0" workbookViewId="0">
      <selection activeCell="E36" sqref="E36"/>
    </sheetView>
  </sheetViews>
  <sheetFormatPr defaultColWidth="9" defaultRowHeight="13.5"/>
  <cols>
    <col min="1" max="1" width="15.875" customWidth="1"/>
  </cols>
  <sheetData>
    <row r="1" ht="23" customHeight="1"/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计划清单</vt:lpstr>
      <vt:lpstr>记录时间</vt:lpstr>
      <vt:lpstr>聚焦--今天</vt:lpstr>
      <vt:lpstr>re1 能量波动_计数</vt:lpstr>
      <vt:lpstr>re1 能量波动_时长</vt:lpstr>
      <vt:lpstr>re2 计划利用率</vt:lpstr>
      <vt:lpstr>re4 计划_任务计项</vt:lpstr>
      <vt:lpstr>月度看板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能量管理系统-X-超级个体自我说明书</dc:title>
  <dc:creator>Nicholas</dc:creator>
  <dc:description>B站主页
Nicholas大杯：https://space.bilibili.com/404864890</dc:description>
  <cp:lastModifiedBy>Administrator</cp:lastModifiedBy>
  <dcterms:created xsi:type="dcterms:W3CDTF">2025-01-13T10:14:00Z</dcterms:created>
  <dcterms:modified xsi:type="dcterms:W3CDTF">2025-01-17T10:32:11Z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45AEB1ADA91C4EDA834621374F29905B_13</vt:lpwstr>
  </property>
  <property fmtid="{D5CDD505-2E9C-101B-9397-08002B2CF9AE}" pid="3" name="KSOProductBuildVer">
    <vt:lpwstr>2052-12.1.0.19770</vt:lpwstr>
  </property>
</Properties>
</file>